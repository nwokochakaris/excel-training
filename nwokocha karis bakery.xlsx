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wokocha Karis\Desktop\"/>
    </mc:Choice>
  </mc:AlternateContent>
  <xr:revisionPtr revIDLastSave="0" documentId="8_{28DE4FBE-A257-4DA4-B09D-34069DF0FED2}" xr6:coauthVersionLast="47" xr6:coauthVersionMax="47" xr10:uidLastSave="{00000000-0000-0000-0000-000000000000}"/>
  <bookViews>
    <workbookView xWindow="-120" yWindow="-120" windowWidth="20640" windowHeight="11310" xr2:uid="{0EEB0FAC-6A66-4767-8F77-46E483461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E20" i="1"/>
  <c r="B22" i="1" s="1" a="1"/>
  <c r="B22" i="1" s="1"/>
  <c r="F20" i="1"/>
  <c r="G20" i="1"/>
  <c r="I5" i="1"/>
  <c r="I6" i="1"/>
  <c r="I7" i="1"/>
  <c r="I8" i="1"/>
  <c r="I9" i="1"/>
  <c r="I10" i="1"/>
  <c r="I11" i="1"/>
  <c r="I12" i="1"/>
  <c r="I13" i="1"/>
  <c r="I4" i="1"/>
  <c r="N3" i="1" a="1"/>
  <c r="N3" i="1" s="1"/>
  <c r="K12" i="1" l="1"/>
  <c r="K8" i="1"/>
  <c r="K7" i="1"/>
  <c r="K11" i="1"/>
  <c r="K9" i="1"/>
  <c r="K5" i="1"/>
  <c r="K10" i="1"/>
  <c r="K6" i="1"/>
  <c r="K13" i="1"/>
  <c r="K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<sst xmlns="http://schemas.openxmlformats.org/spreadsheetml/2006/main" count="44" uniqueCount="39">
  <si>
    <t>nwokocha</t>
  </si>
  <si>
    <t>karis</t>
  </si>
  <si>
    <t xml:space="preserve">customer id </t>
  </si>
  <si>
    <t>name</t>
  </si>
  <si>
    <t>surname</t>
  </si>
  <si>
    <t>date</t>
  </si>
  <si>
    <t>price</t>
  </si>
  <si>
    <t>quantity</t>
  </si>
  <si>
    <t>revenue</t>
  </si>
  <si>
    <t>profit margin</t>
  </si>
  <si>
    <t xml:space="preserve">profit </t>
  </si>
  <si>
    <t>winner</t>
  </si>
  <si>
    <t>james</t>
  </si>
  <si>
    <t>wisdom</t>
  </si>
  <si>
    <t>john</t>
  </si>
  <si>
    <t>sofia</t>
  </si>
  <si>
    <t>badigi</t>
  </si>
  <si>
    <t>dalington</t>
  </si>
  <si>
    <t>divine</t>
  </si>
  <si>
    <t>samuel</t>
  </si>
  <si>
    <t>dotara</t>
  </si>
  <si>
    <t>joseph</t>
  </si>
  <si>
    <t>oda</t>
  </si>
  <si>
    <t>emmanuel</t>
  </si>
  <si>
    <t>collins</t>
  </si>
  <si>
    <t>ashia</t>
  </si>
  <si>
    <t>emeka</t>
  </si>
  <si>
    <t>daniel</t>
  </si>
  <si>
    <t>ikechukwu</t>
  </si>
  <si>
    <t>item purchased</t>
  </si>
  <si>
    <t>bread</t>
  </si>
  <si>
    <t>sausage</t>
  </si>
  <si>
    <t>meatpie</t>
  </si>
  <si>
    <t>chicken pie</t>
  </si>
  <si>
    <t>row pie</t>
  </si>
  <si>
    <t>average quanity</t>
  </si>
  <si>
    <t>total revenue</t>
  </si>
  <si>
    <t>total profit</t>
  </si>
  <si>
    <t>average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</si>
</sst>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₦&quot;#,##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1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9" fontId="0" fillId="0" borderId="1" xfId="2" applyFont="1" applyBorder="1"/>
    <xf numFmtId="165" fontId="0" fillId="0" borderId="0" xfId="0" applyNumberFormat="1"/>
    <xf numFmtId="0" fontId="4" fillId="2" borderId="0" xfId="1" applyFont="1"/>
    <xf numFmtId="0" fontId="1" fillId="2" borderId="0" xfId="1"/>
  </cellXfs>
  <cellStyles count="3">
    <cellStyle name="Normal" xfId="0" builtinId="0"/>
    <cellStyle name="Percent" xfId="2" builtinId="5"/>
    <cellStyle name="Style 1" xfId="1" xr:uid="{E5657381-DF51-4379-AD44-587C83B07E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3140-122F-4400-824B-0651A808C117}">
  <dimension ref="B3:N25"/>
  <sheetViews>
    <sheetView tabSelected="1" zoomScaleNormal="100" workbookViewId="0">
      <selection activeCell="E23" sqref="E23"/>
    </sheetView>
  </sheetViews>
  <sheetFormatPr defaultRowHeight="15" x14ac:dyDescent="0.25"/>
  <cols>
    <col min="2" max="2" width="19.140625" bestFit="1" customWidth="1"/>
    <col min="3" max="3" width="10.5703125" bestFit="1" customWidth="1"/>
    <col min="4" max="4" width="19.140625" bestFit="1" customWidth="1"/>
    <col min="5" max="5" width="25.7109375" bestFit="1" customWidth="1"/>
    <col min="6" max="6" width="19.140625" bestFit="1" customWidth="1"/>
    <col min="7" max="7" width="16.140625" bestFit="1" customWidth="1"/>
    <col min="8" max="9" width="10.85546875" bestFit="1" customWidth="1"/>
    <col min="10" max="11" width="16.28515625" bestFit="1" customWidth="1"/>
    <col min="12" max="12" width="8.28515625" bestFit="1" customWidth="1"/>
    <col min="13" max="13" width="13.85546875" customWidth="1"/>
    <col min="14" max="14" width="10.42578125" hidden="1" customWidth="1"/>
  </cols>
  <sheetData>
    <row r="3" spans="2:14" ht="18.75" x14ac:dyDescent="0.3">
      <c r="B3" s="1" t="s">
        <v>2</v>
      </c>
      <c r="C3" s="1" t="s">
        <v>3</v>
      </c>
      <c r="D3" s="1" t="s">
        <v>4</v>
      </c>
      <c r="E3" s="1" t="s">
        <v>5</v>
      </c>
      <c r="F3" s="1" t="s">
        <v>29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N3" t="str" cm="1">
        <f t="array" ref="N3:N7">_xlfn.UNIQUE(F4:F13)</f>
        <v>bread</v>
      </c>
    </row>
    <row r="4" spans="2:14" x14ac:dyDescent="0.25">
      <c r="B4" s="2">
        <v>1</v>
      </c>
      <c r="C4" s="2" t="s">
        <v>1</v>
      </c>
      <c r="D4" s="2" t="s">
        <v>0</v>
      </c>
      <c r="E4" s="3">
        <v>45774</v>
      </c>
      <c r="F4" s="2" t="s">
        <v>30</v>
      </c>
      <c r="G4" s="4">
        <v>2000</v>
      </c>
      <c r="H4" s="2">
        <v>2</v>
      </c>
      <c r="I4" s="4">
        <f>G4*H4</f>
        <v>4000</v>
      </c>
      <c r="J4" s="5">
        <v>0.3</v>
      </c>
      <c r="K4" s="4">
        <f>I4*J4</f>
        <v>1200</v>
      </c>
      <c r="N4" t="str">
        <v>sausage</v>
      </c>
    </row>
    <row r="5" spans="2:14" x14ac:dyDescent="0.25">
      <c r="B5" s="2">
        <v>2</v>
      </c>
      <c r="C5" s="2" t="s">
        <v>11</v>
      </c>
      <c r="D5" s="2" t="s">
        <v>12</v>
      </c>
      <c r="E5" s="3">
        <v>45775</v>
      </c>
      <c r="F5" s="2" t="s">
        <v>31</v>
      </c>
      <c r="G5" s="4">
        <v>4000</v>
      </c>
      <c r="H5" s="2">
        <v>4</v>
      </c>
      <c r="I5" s="4">
        <f t="shared" ref="I5:I13" si="0">G5*H5</f>
        <v>16000</v>
      </c>
      <c r="J5" s="5">
        <v>0.3</v>
      </c>
      <c r="K5" s="4">
        <f t="shared" ref="K5:K13" si="1">I5*J5</f>
        <v>4800</v>
      </c>
      <c r="N5" t="str">
        <v>meatpie</v>
      </c>
    </row>
    <row r="6" spans="2:14" x14ac:dyDescent="0.25">
      <c r="B6" s="2">
        <v>3</v>
      </c>
      <c r="C6" s="2" t="s">
        <v>13</v>
      </c>
      <c r="D6" s="2" t="s">
        <v>14</v>
      </c>
      <c r="E6" s="3">
        <v>45776</v>
      </c>
      <c r="F6" s="2" t="s">
        <v>32</v>
      </c>
      <c r="G6" s="4">
        <v>6000</v>
      </c>
      <c r="H6" s="2">
        <v>6</v>
      </c>
      <c r="I6" s="4">
        <f t="shared" si="0"/>
        <v>36000</v>
      </c>
      <c r="J6" s="5">
        <v>0.3</v>
      </c>
      <c r="K6" s="4">
        <f t="shared" si="1"/>
        <v>10800</v>
      </c>
      <c r="N6" t="str">
        <v>chicken pie</v>
      </c>
    </row>
    <row r="7" spans="2:14" x14ac:dyDescent="0.25">
      <c r="B7" s="2">
        <v>4</v>
      </c>
      <c r="C7" s="2" t="s">
        <v>15</v>
      </c>
      <c r="D7" s="2" t="s">
        <v>16</v>
      </c>
      <c r="E7" s="3">
        <v>45777</v>
      </c>
      <c r="F7" s="2" t="s">
        <v>33</v>
      </c>
      <c r="G7" s="4">
        <v>8000</v>
      </c>
      <c r="H7" s="2">
        <v>8</v>
      </c>
      <c r="I7" s="4">
        <f t="shared" si="0"/>
        <v>64000</v>
      </c>
      <c r="J7" s="5">
        <v>0.3</v>
      </c>
      <c r="K7" s="4">
        <f t="shared" si="1"/>
        <v>19200</v>
      </c>
      <c r="N7" t="str">
        <v>row pie</v>
      </c>
    </row>
    <row r="8" spans="2:14" x14ac:dyDescent="0.25">
      <c r="B8" s="2">
        <v>5</v>
      </c>
      <c r="C8" s="2" t="s">
        <v>18</v>
      </c>
      <c r="D8" s="2" t="s">
        <v>17</v>
      </c>
      <c r="E8" s="3">
        <v>45778</v>
      </c>
      <c r="F8" s="2" t="s">
        <v>34</v>
      </c>
      <c r="G8" s="4">
        <v>10000</v>
      </c>
      <c r="H8" s="2">
        <v>10</v>
      </c>
      <c r="I8" s="4">
        <f t="shared" si="0"/>
        <v>100000</v>
      </c>
      <c r="J8" s="5">
        <v>0.3</v>
      </c>
      <c r="K8" s="4">
        <f t="shared" si="1"/>
        <v>30000</v>
      </c>
    </row>
    <row r="9" spans="2:14" x14ac:dyDescent="0.25">
      <c r="B9" s="2">
        <v>6</v>
      </c>
      <c r="C9" s="2" t="s">
        <v>19</v>
      </c>
      <c r="D9" s="2" t="s">
        <v>20</v>
      </c>
      <c r="E9" s="3">
        <v>45779</v>
      </c>
      <c r="F9" s="2" t="s">
        <v>30</v>
      </c>
      <c r="G9" s="4">
        <v>12000</v>
      </c>
      <c r="H9" s="2">
        <v>12</v>
      </c>
      <c r="I9" s="4">
        <f t="shared" si="0"/>
        <v>144000</v>
      </c>
      <c r="J9" s="5">
        <v>0.3</v>
      </c>
      <c r="K9" s="4">
        <f t="shared" si="1"/>
        <v>43200</v>
      </c>
    </row>
    <row r="10" spans="2:14" x14ac:dyDescent="0.25">
      <c r="B10" s="2">
        <v>7</v>
      </c>
      <c r="C10" s="2" t="s">
        <v>21</v>
      </c>
      <c r="D10" s="2" t="s">
        <v>22</v>
      </c>
      <c r="E10" s="3">
        <v>45780</v>
      </c>
      <c r="F10" s="2" t="s">
        <v>31</v>
      </c>
      <c r="G10" s="4">
        <v>14000</v>
      </c>
      <c r="H10" s="2">
        <v>14</v>
      </c>
      <c r="I10" s="4">
        <f t="shared" si="0"/>
        <v>196000</v>
      </c>
      <c r="J10" s="5">
        <v>0.3</v>
      </c>
      <c r="K10" s="4">
        <f t="shared" si="1"/>
        <v>58800</v>
      </c>
    </row>
    <row r="11" spans="2:14" x14ac:dyDescent="0.25">
      <c r="B11" s="2">
        <v>8</v>
      </c>
      <c r="C11" s="2" t="s">
        <v>23</v>
      </c>
      <c r="D11" s="2" t="s">
        <v>24</v>
      </c>
      <c r="E11" s="3">
        <v>45781</v>
      </c>
      <c r="F11" s="2" t="s">
        <v>32</v>
      </c>
      <c r="G11" s="4">
        <v>16000</v>
      </c>
      <c r="H11" s="2">
        <v>16</v>
      </c>
      <c r="I11" s="4">
        <f t="shared" si="0"/>
        <v>256000</v>
      </c>
      <c r="J11" s="5">
        <v>0.3</v>
      </c>
      <c r="K11" s="4">
        <f t="shared" si="1"/>
        <v>76800</v>
      </c>
    </row>
    <row r="12" spans="2:14" x14ac:dyDescent="0.25">
      <c r="B12" s="2">
        <v>9</v>
      </c>
      <c r="C12" s="2" t="s">
        <v>25</v>
      </c>
      <c r="D12" s="2" t="s">
        <v>26</v>
      </c>
      <c r="E12" s="3">
        <v>45782</v>
      </c>
      <c r="F12" s="2" t="s">
        <v>33</v>
      </c>
      <c r="G12" s="4">
        <v>18000</v>
      </c>
      <c r="H12" s="2">
        <v>18</v>
      </c>
      <c r="I12" s="4">
        <f t="shared" si="0"/>
        <v>324000</v>
      </c>
      <c r="J12" s="5">
        <v>0.3</v>
      </c>
      <c r="K12" s="4">
        <f t="shared" si="1"/>
        <v>97200</v>
      </c>
    </row>
    <row r="13" spans="2:14" x14ac:dyDescent="0.25">
      <c r="B13" s="2">
        <v>10</v>
      </c>
      <c r="C13" s="2" t="s">
        <v>27</v>
      </c>
      <c r="D13" s="2" t="s">
        <v>28</v>
      </c>
      <c r="E13" s="3">
        <v>45783</v>
      </c>
      <c r="F13" s="2" t="s">
        <v>34</v>
      </c>
      <c r="G13" s="4">
        <v>20000</v>
      </c>
      <c r="H13" s="2">
        <v>20</v>
      </c>
      <c r="I13" s="4">
        <f t="shared" si="0"/>
        <v>400000</v>
      </c>
      <c r="J13" s="5">
        <v>0.3</v>
      </c>
      <c r="K13" s="4">
        <f t="shared" si="1"/>
        <v>120000</v>
      </c>
    </row>
    <row r="14" spans="2:14" x14ac:dyDescent="0.25">
      <c r="B14" s="2"/>
      <c r="C14" s="2"/>
      <c r="D14" s="2"/>
      <c r="E14" s="3"/>
      <c r="F14" s="2"/>
      <c r="G14" s="2"/>
      <c r="H14" s="2"/>
      <c r="I14" s="2"/>
      <c r="J14" s="2"/>
      <c r="K14" s="2"/>
    </row>
    <row r="15" spans="2:14" x14ac:dyDescent="0.25">
      <c r="B15" s="2"/>
      <c r="C15" s="2"/>
      <c r="D15" s="2"/>
      <c r="E15" s="3"/>
      <c r="F15" s="2"/>
      <c r="G15" s="2"/>
      <c r="H15" s="2"/>
      <c r="I15" s="2"/>
      <c r="J15" s="2"/>
      <c r="K15" s="2"/>
    </row>
    <row r="19" spans="2:7" ht="18.75" x14ac:dyDescent="0.3">
      <c r="D19" s="7" t="s">
        <v>35</v>
      </c>
      <c r="E19" s="7" t="s">
        <v>36</v>
      </c>
      <c r="F19" s="7" t="s">
        <v>37</v>
      </c>
      <c r="G19" s="7" t="s">
        <v>38</v>
      </c>
    </row>
    <row r="20" spans="2:7" x14ac:dyDescent="0.25">
      <c r="D20">
        <f>AVERAGE(H3:H13)</f>
        <v>11</v>
      </c>
      <c r="E20" s="6">
        <f>SUM(I4:I13)</f>
        <v>1540000</v>
      </c>
      <c r="F20" s="6">
        <f>SUM(K4:K13)</f>
        <v>462000</v>
      </c>
      <c r="G20" s="6">
        <f>AVERAGE(G4:G13)</f>
        <v>11000</v>
      </c>
    </row>
    <row r="22" spans="2:7" ht="18.75" x14ac:dyDescent="0.3">
      <c r="B22" s="8" t="str" cm="1">
        <f t="array" ref="B22:C25">TRANSPOSE(D19:G20)</f>
        <v>average quanity</v>
      </c>
      <c r="C22">
        <v>11</v>
      </c>
    </row>
    <row r="23" spans="2:7" ht="18.75" x14ac:dyDescent="0.3">
      <c r="B23" s="8" t="str">
        <v>total revenue</v>
      </c>
      <c r="C23">
        <v>1540000</v>
      </c>
    </row>
    <row r="24" spans="2:7" ht="18.75" x14ac:dyDescent="0.3">
      <c r="B24" s="8" t="str">
        <v>total profit</v>
      </c>
      <c r="C24">
        <v>462000</v>
      </c>
    </row>
    <row r="25" spans="2:7" ht="18.75" x14ac:dyDescent="0.3">
      <c r="B25" s="8" t="str">
        <v>average price</v>
      </c>
      <c r="C25">
        <v>11000</v>
      </c>
    </row>
  </sheetData>
  <dataValidations count="1">
    <dataValidation type="list" allowBlank="1" showInputMessage="1" showErrorMessage="1" error="incorrect product" sqref="I19" xr:uid="{D24EA34C-96E8-4BB6-B28A-614B59161F57}">
      <formula1>$N$3:$N$7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Nwokocha Karis</dc:creator>
  <cp:lastModifiedBy>Nwokocha Karis</cp:lastModifiedBy>
  <dcterms:created xsi:type="dcterms:W3CDTF">2025-04-26T18:52:23Z</dcterms:created>
  <dcterms:modified xsi:type="dcterms:W3CDTF">2025-05-01T12:42:23Z</dcterms:modified>
</cp:coreProperties>
</file>